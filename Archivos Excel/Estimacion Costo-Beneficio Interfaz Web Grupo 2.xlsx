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\OneDrive\Escritorio\Ingeniería de Software 1 Grupo 2\"/>
    </mc:Choice>
  </mc:AlternateContent>
  <xr:revisionPtr revIDLastSave="0" documentId="13_ncr:1_{44D884E0-3B4E-43C6-BDD0-A43F0619FD46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Estim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0" i="1" l="1"/>
  <c r="C51" i="1" s="1"/>
  <c r="D49" i="1"/>
  <c r="C49" i="1"/>
  <c r="U48" i="1"/>
  <c r="U41" i="1"/>
  <c r="U42" i="1" s="1"/>
  <c r="P30" i="1" s="1"/>
  <c r="J39" i="1"/>
  <c r="C19" i="1" s="1"/>
  <c r="D19" i="1" s="1"/>
  <c r="J32" i="1"/>
  <c r="F31" i="1"/>
  <c r="P29" i="1"/>
  <c r="P28" i="1"/>
  <c r="P31" i="1" s="1"/>
  <c r="J25" i="1"/>
  <c r="C17" i="1" s="1"/>
  <c r="D17" i="1" s="1"/>
  <c r="C20" i="1"/>
  <c r="D20" i="1" s="1"/>
  <c r="J19" i="1"/>
  <c r="D18" i="1"/>
  <c r="C18" i="1"/>
  <c r="U17" i="1"/>
  <c r="C16" i="1"/>
  <c r="D16" i="1" s="1"/>
  <c r="P15" i="1"/>
  <c r="P19" i="1" s="1"/>
  <c r="J13" i="1"/>
  <c r="C15" i="1" s="1"/>
  <c r="AJ58" i="1" l="1"/>
  <c r="T58" i="1"/>
  <c r="D58" i="1"/>
  <c r="AI58" i="1"/>
  <c r="S58" i="1"/>
  <c r="V58" i="1"/>
  <c r="AH58" i="1"/>
  <c r="AH61" i="1" s="1"/>
  <c r="R58" i="1"/>
  <c r="AG58" i="1"/>
  <c r="Q58" i="1"/>
  <c r="E58" i="1"/>
  <c r="E61" i="1" s="1"/>
  <c r="AF58" i="1"/>
  <c r="AF61" i="1" s="1"/>
  <c r="P58" i="1"/>
  <c r="P61" i="1" s="1"/>
  <c r="AE58" i="1"/>
  <c r="AE61" i="1" s="1"/>
  <c r="O58" i="1"/>
  <c r="O61" i="1" s="1"/>
  <c r="F58" i="1"/>
  <c r="F61" i="1" s="1"/>
  <c r="U58" i="1"/>
  <c r="AD58" i="1"/>
  <c r="N58" i="1"/>
  <c r="AB58" i="1"/>
  <c r="L58" i="1"/>
  <c r="AC58" i="1"/>
  <c r="M58" i="1"/>
  <c r="AA58" i="1"/>
  <c r="AA61" i="1" s="1"/>
  <c r="K58" i="1"/>
  <c r="K61" i="1" s="1"/>
  <c r="AL58" i="1"/>
  <c r="Z58" i="1"/>
  <c r="Z61" i="1" s="1"/>
  <c r="J58" i="1"/>
  <c r="J61" i="1" s="1"/>
  <c r="Y58" i="1"/>
  <c r="Y61" i="1" s="1"/>
  <c r="I58" i="1"/>
  <c r="I61" i="1" s="1"/>
  <c r="AK58" i="1"/>
  <c r="X58" i="1"/>
  <c r="X61" i="1" s="1"/>
  <c r="H58" i="1"/>
  <c r="AM58" i="1"/>
  <c r="W58" i="1"/>
  <c r="G58" i="1"/>
  <c r="D15" i="1"/>
  <c r="C21" i="1"/>
  <c r="D21" i="1" s="1"/>
  <c r="C60" i="1" s="1"/>
  <c r="C61" i="1" s="1"/>
  <c r="AF59" i="1"/>
  <c r="P59" i="1"/>
  <c r="AE59" i="1"/>
  <c r="O59" i="1"/>
  <c r="AD59" i="1"/>
  <c r="N59" i="1"/>
  <c r="AC59" i="1"/>
  <c r="M59" i="1"/>
  <c r="AB59" i="1"/>
  <c r="L59" i="1"/>
  <c r="AA59" i="1"/>
  <c r="K59" i="1"/>
  <c r="Z59" i="1"/>
  <c r="J59" i="1"/>
  <c r="X59" i="1"/>
  <c r="H59" i="1"/>
  <c r="Y59" i="1"/>
  <c r="I59" i="1"/>
  <c r="AM59" i="1"/>
  <c r="W59" i="1"/>
  <c r="G59" i="1"/>
  <c r="Q59" i="1"/>
  <c r="AL59" i="1"/>
  <c r="V59" i="1"/>
  <c r="F59" i="1"/>
  <c r="AK59" i="1"/>
  <c r="U59" i="1"/>
  <c r="E59" i="1"/>
  <c r="AH59" i="1"/>
  <c r="AJ59" i="1"/>
  <c r="T59" i="1"/>
  <c r="D59" i="1"/>
  <c r="AI59" i="1"/>
  <c r="S59" i="1"/>
  <c r="R59" i="1"/>
  <c r="AG59" i="1"/>
  <c r="AK61" i="1" l="1"/>
  <c r="AL61" i="1"/>
  <c r="V61" i="1"/>
  <c r="L61" i="1"/>
  <c r="Q61" i="1"/>
  <c r="AG61" i="1"/>
  <c r="R61" i="1"/>
  <c r="M61" i="1"/>
  <c r="AC61" i="1"/>
  <c r="S61" i="1"/>
  <c r="G61" i="1"/>
  <c r="C66" i="1" s="1"/>
  <c r="C67" i="1" s="1"/>
  <c r="AB61" i="1"/>
  <c r="AI61" i="1"/>
  <c r="W61" i="1"/>
  <c r="N61" i="1"/>
  <c r="D61" i="1"/>
  <c r="AM61" i="1"/>
  <c r="AD61" i="1"/>
  <c r="T61" i="1"/>
  <c r="H61" i="1"/>
  <c r="U61" i="1"/>
  <c r="AJ61" i="1"/>
  <c r="C65" i="1" l="1"/>
</calcChain>
</file>

<file path=xl/sharedStrings.xml><?xml version="1.0" encoding="utf-8"?>
<sst xmlns="http://schemas.openxmlformats.org/spreadsheetml/2006/main" count="127" uniqueCount="113">
  <si>
    <t>costos operacionales</t>
  </si>
  <si>
    <t>estimacion consultoria y requerimientos (doc 0 )</t>
  </si>
  <si>
    <t>integrantes</t>
  </si>
  <si>
    <t xml:space="preserve">horas promedio por integrante </t>
  </si>
  <si>
    <t>horas totales desarrollo [h]</t>
  </si>
  <si>
    <t>n° item</t>
  </si>
  <si>
    <t>nombre item de proyecto</t>
  </si>
  <si>
    <t>horas estimadas [h]</t>
  </si>
  <si>
    <t>costo estimado [clp]</t>
  </si>
  <si>
    <t>Estimacion costo servidor</t>
  </si>
  <si>
    <t>consultoria y levantamiento de requisitios</t>
  </si>
  <si>
    <t>infraestructura cloud (25 %)</t>
  </si>
  <si>
    <t>costo servidor vps [clp]</t>
  </si>
  <si>
    <t>desarrollo tecnico</t>
  </si>
  <si>
    <t>estimacion desarrollo tecnico</t>
  </si>
  <si>
    <t>licencia API LLM chatbot</t>
  </si>
  <si>
    <t>proporcion de uso/proyecto</t>
  </si>
  <si>
    <t>arquitectura y modelamiento ( vistas 4+1)</t>
  </si>
  <si>
    <t>cantidad casos de uso</t>
  </si>
  <si>
    <t>administrador del sistema (10% dedicacion)</t>
  </si>
  <si>
    <t>total</t>
  </si>
  <si>
    <t>gestion de proyecto ( scrum++) e integracion</t>
  </si>
  <si>
    <t>horas estimadas por caso de uso</t>
  </si>
  <si>
    <t>soporte y mantenimiento correctivo</t>
  </si>
  <si>
    <t>nivelacion tecnica y revisiones cruzadas</t>
  </si>
  <si>
    <t>Total [clp]</t>
  </si>
  <si>
    <t>puesta en marcha y despliegue</t>
  </si>
  <si>
    <t>estimacion 4 entregas</t>
  </si>
  <si>
    <t>horas por entrega</t>
  </si>
  <si>
    <t>Estimacion de beneficios - Interfaz Web</t>
  </si>
  <si>
    <t>cantidad de entregas 4</t>
  </si>
  <si>
    <t>valor estimado</t>
  </si>
  <si>
    <t>estimacion beneficio autogestion portal cliente</t>
  </si>
  <si>
    <t>Estimacion valor hh</t>
  </si>
  <si>
    <t>Estimacion Gestion de Proyecto</t>
  </si>
  <si>
    <t>reduccion de atencion al cliente por autogestion del portal</t>
  </si>
  <si>
    <t>horas mensuales recuperadas atencion al cliente</t>
  </si>
  <si>
    <t>sueldo desarrollador junion [clp/mes]</t>
  </si>
  <si>
    <t>cantidad de integrantes</t>
  </si>
  <si>
    <t>automatizacion de consultas y soporte via chatbot</t>
  </si>
  <si>
    <t>valor perdida / ahorro [clp]</t>
  </si>
  <si>
    <t>horas mes</t>
  </si>
  <si>
    <t xml:space="preserve">horas semanales </t>
  </si>
  <si>
    <t>estimacion beneficio optimizacion cobranza y administracion</t>
  </si>
  <si>
    <t>valor hora [clp/h]</t>
  </si>
  <si>
    <t>semanas de proyeto</t>
  </si>
  <si>
    <t>horas totales [h]</t>
  </si>
  <si>
    <t>estimacion beneficio chatbot (automatizacion 24/7)</t>
  </si>
  <si>
    <t>tickets de soporte evitados por chatbot al mes</t>
  </si>
  <si>
    <t>valor ahorro por ticket [clp]</t>
  </si>
  <si>
    <t>Estimacion nivelacion tecnica</t>
  </si>
  <si>
    <t>horas mens. automatizacion suspensiones/reactivaciones</t>
  </si>
  <si>
    <t>horas mens. generacion automatica de reportes</t>
  </si>
  <si>
    <t>horas mens. recordatorios automaticos de pago</t>
  </si>
  <si>
    <t>valor app equipos ONT [clp]</t>
  </si>
  <si>
    <t>total horas [ h]</t>
  </si>
  <si>
    <t>beneficio horas recuperadas [clp]</t>
  </si>
  <si>
    <t>puesta en marcha y despliegue [h]</t>
  </si>
  <si>
    <t>Estimacion valor hh Administrador del Sistema</t>
  </si>
  <si>
    <t>sueldo aproximado  [clp/mes]</t>
  </si>
  <si>
    <t>valores historicos tasa libre de riesgo</t>
  </si>
  <si>
    <t>cantidad horas de trabajo por mes</t>
  </si>
  <si>
    <t>prima por riesgo tecnologico</t>
  </si>
  <si>
    <t>valor hh [clp]</t>
  </si>
  <si>
    <t>tasas de descuento calculadas</t>
  </si>
  <si>
    <t>tasa de descuento a utilizar</t>
  </si>
  <si>
    <t>tasa mensual</t>
  </si>
  <si>
    <t>concepto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</si>
  <si>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</si>
  <si>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</si>
  <si>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</si>
  <si>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</si>
  <si>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</si>
  <si>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</si>
  <si>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</si>
  <si>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</si>
  <si>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</si>
  <si>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</si>
  <si>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</si>
  <si>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</si>
  <si>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</si>
  <si>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</si>
  <si>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</si>
  <si>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</si>
  <si>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</si>
  <si>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</si>
  <si>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</si>
  <si>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</si>
  <si>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</si>
  <si>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</si>
  <si>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</si>
  <si>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</si>
  <si>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</si>
  <si>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</si>
  <si>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</si>
  <si>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</si>
  <si>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</si>
  <si>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</si>
  <si>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</si>
  <si>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</si>
  <si>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</si>
  <si>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</si>
  <si>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</si>
  <si>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</si>
  <si>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</si>
  <si>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(+)ingresos por beneficios</t>
  </si>
  <si>
    <t>(-)costos operacionales</t>
  </si>
  <si>
    <t>(-)inversion inicial</t>
  </si>
  <si>
    <t>(=)flujo de caja</t>
  </si>
  <si>
    <t>VAN [clp]</t>
  </si>
  <si>
    <t>TIR mensual</t>
  </si>
  <si>
    <t>TIR anual</t>
  </si>
  <si>
    <t>Costo de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</si>
</sst>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" x14ac:knownFonts="1">
    <font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10" fontId="0" fillId="2" borderId="6" xfId="0" applyNumberForma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9" xfId="0" applyFill="1" applyBorder="1"/>
    <xf numFmtId="0" fontId="0" fillId="0" borderId="13" xfId="0" applyBorder="1"/>
    <xf numFmtId="164" fontId="0" fillId="0" borderId="6" xfId="0" applyNumberFormat="1" applyBorder="1"/>
    <xf numFmtId="0" fontId="0" fillId="0" borderId="15" xfId="0" applyBorder="1"/>
    <xf numFmtId="0" fontId="0" fillId="0" borderId="19" xfId="0" applyBorder="1"/>
    <xf numFmtId="0" fontId="0" fillId="2" borderId="6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4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2" borderId="20" xfId="0" applyFill="1" applyBorder="1"/>
    <xf numFmtId="164" fontId="0" fillId="2" borderId="22" xfId="0" applyNumberFormat="1" applyFill="1" applyBorder="1"/>
    <xf numFmtId="10" fontId="0" fillId="0" borderId="23" xfId="0" applyNumberFormat="1" applyBorder="1"/>
    <xf numFmtId="0" fontId="0" fillId="2" borderId="24" xfId="0" applyFill="1" applyBorder="1"/>
    <xf numFmtId="9" fontId="0" fillId="2" borderId="26" xfId="0" applyNumberFormat="1" applyFill="1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M67"/>
  <sheetViews>
    <sheetView tabSelected="1" topLeftCell="A33" zoomScale="85" zoomScaleNormal="85" workbookViewId="0">
      <selection activeCell="A73" sqref="A73"/>
    </sheetView>
  </sheetViews>
  <sheetFormatPr baseColWidth="10" defaultColWidth="10.5703125" defaultRowHeight="15" x14ac:dyDescent="0.25"/>
  <cols>
    <col min="1" max="1" width="17.28515625" customWidth="1"/>
    <col min="2" max="2" width="43.5703125" customWidth="1"/>
    <col min="3" max="3" width="18.7109375" customWidth="1"/>
    <col min="4" max="4" width="23.5703125" customWidth="1"/>
    <col min="5" max="5" width="36" customWidth="1"/>
    <col min="6" max="6" width="14.28515625" customWidth="1"/>
    <col min="7" max="7" width="12.5703125" customWidth="1"/>
    <col min="9" max="9" width="34" customWidth="1"/>
    <col min="10" max="10" width="24.28515625" customWidth="1"/>
    <col min="14" max="14" width="27.42578125" customWidth="1"/>
    <col min="15" max="15" width="54.5703125" customWidth="1"/>
    <col min="16" max="17" width="20.28515625" customWidth="1"/>
    <col min="20" max="20" width="49.28515625" customWidth="1"/>
  </cols>
  <sheetData>
    <row r="6" spans="1:22" ht="15.75" customHeight="1" thickBot="1" x14ac:dyDescent="0.3"/>
    <row r="7" spans="1:22" ht="15" customHeight="1" x14ac:dyDescent="0.25">
      <c r="A7" s="46" t="s">
        <v>112</v>
      </c>
      <c r="B7" s="47"/>
      <c r="C7" s="4"/>
      <c r="D7" s="4"/>
      <c r="E7" s="4"/>
      <c r="F7" s="4"/>
      <c r="G7" s="4"/>
      <c r="H7" s="4"/>
      <c r="I7" s="4"/>
      <c r="J7" s="4"/>
      <c r="K7" s="5"/>
      <c r="M7" s="6"/>
      <c r="N7" s="50" t="s">
        <v>0</v>
      </c>
      <c r="O7" s="50"/>
      <c r="P7" s="4"/>
      <c r="Q7" s="4"/>
      <c r="R7" s="4"/>
      <c r="S7" s="4"/>
      <c r="T7" s="4"/>
      <c r="U7" s="4"/>
      <c r="V7" s="5"/>
    </row>
    <row r="8" spans="1:22" ht="15.75" customHeight="1" thickBot="1" x14ac:dyDescent="0.3">
      <c r="A8" s="48"/>
      <c r="B8" s="49"/>
      <c r="K8" s="7"/>
      <c r="M8" s="8"/>
      <c r="N8" s="51"/>
      <c r="O8" s="51"/>
      <c r="V8" s="7"/>
    </row>
    <row r="9" spans="1:22" ht="15" customHeight="1" x14ac:dyDescent="0.25">
      <c r="A9" s="8"/>
      <c r="K9" s="7"/>
      <c r="M9" s="8"/>
      <c r="V9" s="7"/>
    </row>
    <row r="10" spans="1:22" ht="15" customHeight="1" x14ac:dyDescent="0.25">
      <c r="A10" s="8"/>
      <c r="I10" s="3" t="s">
        <v>1</v>
      </c>
      <c r="J10" s="3"/>
      <c r="K10" s="7"/>
      <c r="M10" s="8"/>
      <c r="V10" s="7"/>
    </row>
    <row r="11" spans="1:22" ht="15" customHeight="1" x14ac:dyDescent="0.25">
      <c r="A11" s="8"/>
      <c r="I11" s="9" t="s">
        <v>2</v>
      </c>
      <c r="J11" s="9">
        <v>6</v>
      </c>
      <c r="K11" s="7"/>
      <c r="M11" s="8"/>
      <c r="V11" s="7"/>
    </row>
    <row r="12" spans="1:22" ht="15" customHeight="1" x14ac:dyDescent="0.25">
      <c r="A12" s="8"/>
      <c r="I12" s="9" t="s">
        <v>3</v>
      </c>
      <c r="J12" s="9">
        <v>20</v>
      </c>
      <c r="K12" s="7"/>
      <c r="M12" s="8"/>
      <c r="V12" s="7"/>
    </row>
    <row r="13" spans="1:22" ht="15.75" customHeight="1" x14ac:dyDescent="0.25">
      <c r="A13" s="8"/>
      <c r="I13" s="9" t="s">
        <v>4</v>
      </c>
      <c r="J13" s="9">
        <f>J11*J12</f>
        <v>120</v>
      </c>
      <c r="K13" s="7"/>
      <c r="M13" s="8"/>
      <c r="V13" s="7"/>
    </row>
    <row r="14" spans="1:22" ht="15.75" customHeight="1" x14ac:dyDescent="0.25">
      <c r="A14" s="10" t="s">
        <v>5</v>
      </c>
      <c r="B14" s="11" t="s">
        <v>6</v>
      </c>
      <c r="C14" s="11" t="s">
        <v>7</v>
      </c>
      <c r="D14" s="12" t="s">
        <v>8</v>
      </c>
      <c r="K14" s="7"/>
      <c r="M14" s="8"/>
      <c r="N14" s="13" t="s">
        <v>5</v>
      </c>
      <c r="O14" s="14" t="s">
        <v>6</v>
      </c>
      <c r="P14" s="15" t="s">
        <v>8</v>
      </c>
      <c r="T14" s="3" t="s">
        <v>9</v>
      </c>
      <c r="U14" s="3"/>
      <c r="V14" s="7"/>
    </row>
    <row r="15" spans="1:22" ht="15" customHeight="1" x14ac:dyDescent="0.25">
      <c r="A15" s="16">
        <v>1</v>
      </c>
      <c r="B15" s="17" t="s">
        <v>10</v>
      </c>
      <c r="C15" s="17">
        <f>J13</f>
        <v>120</v>
      </c>
      <c r="D15" s="17">
        <f t="shared" ref="D15:D21" si="0">C15*$F$31</f>
        <v>975000</v>
      </c>
      <c r="K15" s="7"/>
      <c r="M15" s="8"/>
      <c r="N15" s="9">
        <v>1</v>
      </c>
      <c r="O15" s="9" t="s">
        <v>11</v>
      </c>
      <c r="P15" s="9">
        <f>U17</f>
        <v>6250</v>
      </c>
      <c r="T15" s="18" t="s">
        <v>12</v>
      </c>
      <c r="U15" s="18">
        <v>25000</v>
      </c>
      <c r="V15" s="7"/>
    </row>
    <row r="16" spans="1:22" ht="15.75" customHeight="1" x14ac:dyDescent="0.25">
      <c r="A16" s="19">
        <v>2</v>
      </c>
      <c r="B16" s="9" t="s">
        <v>13</v>
      </c>
      <c r="C16" s="9">
        <f>J19</f>
        <v>480</v>
      </c>
      <c r="D16" s="17">
        <f t="shared" si="0"/>
        <v>3900000</v>
      </c>
      <c r="I16" s="3" t="s">
        <v>14</v>
      </c>
      <c r="J16" s="3"/>
      <c r="K16" s="7"/>
      <c r="M16" s="8"/>
      <c r="N16" s="9">
        <v>2</v>
      </c>
      <c r="O16" s="20" t="s">
        <v>15</v>
      </c>
      <c r="P16" s="20">
        <v>25000</v>
      </c>
      <c r="T16" s="18" t="s">
        <v>16</v>
      </c>
      <c r="U16" s="18">
        <v>0.25</v>
      </c>
      <c r="V16" s="7"/>
    </row>
    <row r="17" spans="1:22" ht="15.75" customHeight="1" x14ac:dyDescent="0.25">
      <c r="A17" s="19">
        <v>3</v>
      </c>
      <c r="B17" s="9" t="s">
        <v>17</v>
      </c>
      <c r="C17" s="9">
        <f>J25</f>
        <v>140</v>
      </c>
      <c r="D17" s="17">
        <f t="shared" si="0"/>
        <v>1137500</v>
      </c>
      <c r="I17" s="9" t="s">
        <v>18</v>
      </c>
      <c r="J17" s="9">
        <v>60</v>
      </c>
      <c r="K17" s="7"/>
      <c r="M17" s="8"/>
      <c r="N17" s="9">
        <v>3</v>
      </c>
      <c r="O17" s="20" t="s">
        <v>19</v>
      </c>
      <c r="P17" s="20">
        <v>70000</v>
      </c>
      <c r="T17" s="18" t="s">
        <v>20</v>
      </c>
      <c r="U17" s="18">
        <f>U15*U16</f>
        <v>6250</v>
      </c>
      <c r="V17" s="7"/>
    </row>
    <row r="18" spans="1:22" ht="15" customHeight="1" x14ac:dyDescent="0.25">
      <c r="A18" s="19">
        <v>4</v>
      </c>
      <c r="B18" s="9" t="s">
        <v>21</v>
      </c>
      <c r="C18" s="9">
        <f>J32</f>
        <v>384</v>
      </c>
      <c r="D18" s="17">
        <f t="shared" si="0"/>
        <v>3120000</v>
      </c>
      <c r="I18" s="9" t="s">
        <v>22</v>
      </c>
      <c r="J18" s="9">
        <v>8</v>
      </c>
      <c r="K18" s="7"/>
      <c r="M18" s="8"/>
      <c r="N18" s="9">
        <v>4</v>
      </c>
      <c r="O18" s="20" t="s">
        <v>23</v>
      </c>
      <c r="P18" s="20">
        <v>50000</v>
      </c>
      <c r="V18" s="7"/>
    </row>
    <row r="19" spans="1:22" ht="15" customHeight="1" x14ac:dyDescent="0.25">
      <c r="A19" s="19">
        <v>5</v>
      </c>
      <c r="B19" s="9" t="s">
        <v>24</v>
      </c>
      <c r="C19" s="9">
        <f>J39</f>
        <v>384</v>
      </c>
      <c r="D19" s="17">
        <f t="shared" si="0"/>
        <v>3120000</v>
      </c>
      <c r="I19" s="9" t="s">
        <v>4</v>
      </c>
      <c r="J19" s="9">
        <f>J17*J18</f>
        <v>480</v>
      </c>
      <c r="K19" s="7"/>
      <c r="M19" s="8"/>
      <c r="O19" s="10" t="s">
        <v>25</v>
      </c>
      <c r="P19" s="21">
        <f>SUM(P15:P18)</f>
        <v>151250</v>
      </c>
      <c r="V19" s="7"/>
    </row>
    <row r="20" spans="1:22" ht="15.75" customHeight="1" x14ac:dyDescent="0.25">
      <c r="A20" s="19">
        <v>6</v>
      </c>
      <c r="B20" s="20" t="s">
        <v>26</v>
      </c>
      <c r="C20" s="20">
        <f>J43</f>
        <v>40</v>
      </c>
      <c r="D20" s="17">
        <f t="shared" si="0"/>
        <v>325000</v>
      </c>
      <c r="K20" s="7"/>
      <c r="M20" s="22"/>
      <c r="N20" s="23"/>
      <c r="O20" s="23"/>
      <c r="P20" s="23"/>
      <c r="Q20" s="23"/>
      <c r="R20" s="23"/>
      <c r="S20" s="23"/>
      <c r="T20" s="23"/>
      <c r="U20" s="23"/>
      <c r="V20" s="24"/>
    </row>
    <row r="21" spans="1:22" ht="15.75" customHeight="1" x14ac:dyDescent="0.25">
      <c r="A21" s="8"/>
      <c r="B21" s="10" t="s">
        <v>25</v>
      </c>
      <c r="C21" s="25">
        <f>SUM(C15:C20)</f>
        <v>1548</v>
      </c>
      <c r="D21" s="17">
        <f t="shared" si="0"/>
        <v>12577500</v>
      </c>
      <c r="K21" s="7"/>
    </row>
    <row r="22" spans="1:22" ht="15" customHeight="1" x14ac:dyDescent="0.25">
      <c r="A22" s="8"/>
      <c r="I22" s="3" t="s">
        <v>27</v>
      </c>
      <c r="J22" s="3"/>
      <c r="K22" s="7"/>
      <c r="M22" s="6"/>
      <c r="N22" s="4"/>
      <c r="O22" s="4"/>
      <c r="P22" s="4"/>
      <c r="Q22" s="4"/>
      <c r="R22" s="4"/>
      <c r="S22" s="4"/>
      <c r="T22" s="4"/>
      <c r="U22" s="4"/>
      <c r="V22" s="5"/>
    </row>
    <row r="23" spans="1:22" ht="15" customHeight="1" x14ac:dyDescent="0.25">
      <c r="A23" s="8"/>
      <c r="I23" s="9" t="s">
        <v>28</v>
      </c>
      <c r="J23" s="9">
        <v>35</v>
      </c>
      <c r="K23" s="7"/>
      <c r="M23" s="8"/>
      <c r="N23" s="26" t="s">
        <v>29</v>
      </c>
      <c r="V23" s="7"/>
    </row>
    <row r="24" spans="1:22" ht="15" customHeight="1" x14ac:dyDescent="0.25">
      <c r="A24" s="8"/>
      <c r="I24" s="9" t="s">
        <v>30</v>
      </c>
      <c r="J24" s="9">
        <v>4</v>
      </c>
      <c r="K24" s="7"/>
      <c r="M24" s="8"/>
      <c r="V24" s="7"/>
    </row>
    <row r="25" spans="1:22" ht="15" customHeight="1" x14ac:dyDescent="0.25">
      <c r="A25" s="8"/>
      <c r="I25" s="9" t="s">
        <v>4</v>
      </c>
      <c r="J25" s="9">
        <f>J23*J24</f>
        <v>140</v>
      </c>
      <c r="K25" s="7"/>
      <c r="M25" s="8"/>
      <c r="V25" s="7"/>
    </row>
    <row r="26" spans="1:22" ht="15.75" customHeight="1" x14ac:dyDescent="0.25">
      <c r="A26" s="8"/>
      <c r="K26" s="7"/>
      <c r="M26" s="8"/>
      <c r="V26" s="7"/>
    </row>
    <row r="27" spans="1:22" ht="15.75" customHeight="1" x14ac:dyDescent="0.25">
      <c r="A27" s="8"/>
      <c r="K27" s="7"/>
      <c r="M27" s="8"/>
      <c r="N27" s="10" t="s">
        <v>5</v>
      </c>
      <c r="O27" s="11" t="s">
        <v>6</v>
      </c>
      <c r="P27" s="27" t="s">
        <v>31</v>
      </c>
      <c r="T27" s="9" t="s">
        <v>32</v>
      </c>
      <c r="V27" s="7"/>
    </row>
    <row r="28" spans="1:22" ht="15" customHeight="1" x14ac:dyDescent="0.25">
      <c r="A28" s="8"/>
      <c r="E28" s="3" t="s">
        <v>33</v>
      </c>
      <c r="F28" s="3"/>
      <c r="I28" s="3" t="s">
        <v>34</v>
      </c>
      <c r="J28" s="3"/>
      <c r="K28" s="7"/>
      <c r="M28" s="8"/>
      <c r="N28" s="17">
        <v>1</v>
      </c>
      <c r="O28" s="17" t="s">
        <v>35</v>
      </c>
      <c r="P28" s="28">
        <f>U29</f>
        <v>225000</v>
      </c>
      <c r="T28" s="9" t="s">
        <v>36</v>
      </c>
      <c r="U28" s="9">
        <v>55</v>
      </c>
      <c r="V28" s="7"/>
    </row>
    <row r="29" spans="1:22" ht="15" customHeight="1" x14ac:dyDescent="0.25">
      <c r="A29" s="8"/>
      <c r="E29" s="18" t="s">
        <v>37</v>
      </c>
      <c r="F29" s="29">
        <v>1300000</v>
      </c>
      <c r="I29" s="9" t="s">
        <v>38</v>
      </c>
      <c r="J29" s="9">
        <v>6</v>
      </c>
      <c r="K29" s="7"/>
      <c r="M29" s="8"/>
      <c r="N29" s="9">
        <v>2</v>
      </c>
      <c r="O29" s="9" t="s">
        <v>39</v>
      </c>
      <c r="P29" s="18">
        <f>U34</f>
        <v>112500</v>
      </c>
      <c r="T29" s="9" t="s">
        <v>40</v>
      </c>
      <c r="U29" s="9">
        <v>225000</v>
      </c>
      <c r="V29" s="7"/>
    </row>
    <row r="30" spans="1:22" ht="15.75" customHeight="1" x14ac:dyDescent="0.25">
      <c r="A30" s="8"/>
      <c r="E30" s="18" t="s">
        <v>41</v>
      </c>
      <c r="F30" s="18">
        <v>160</v>
      </c>
      <c r="I30" s="9" t="s">
        <v>42</v>
      </c>
      <c r="J30" s="9">
        <v>2</v>
      </c>
      <c r="K30" s="7"/>
      <c r="M30" s="8"/>
      <c r="N30" s="9">
        <v>3</v>
      </c>
      <c r="O30" s="20" t="s">
        <v>43</v>
      </c>
      <c r="P30" s="30">
        <f>U42</f>
        <v>315000</v>
      </c>
      <c r="V30" s="7"/>
    </row>
    <row r="31" spans="1:22" ht="15.75" customHeight="1" x14ac:dyDescent="0.25">
      <c r="A31" s="8"/>
      <c r="E31" s="18" t="s">
        <v>44</v>
      </c>
      <c r="F31" s="18">
        <f>F29/F30</f>
        <v>8125</v>
      </c>
      <c r="I31" s="9" t="s">
        <v>45</v>
      </c>
      <c r="J31" s="9">
        <v>32</v>
      </c>
      <c r="K31" s="7"/>
      <c r="M31" s="8"/>
      <c r="O31" s="10" t="s">
        <v>25</v>
      </c>
      <c r="P31" s="31">
        <f>SUM(P28:P30)</f>
        <v>652500</v>
      </c>
      <c r="V31" s="7"/>
    </row>
    <row r="32" spans="1:22" ht="15" customHeight="1" x14ac:dyDescent="0.25">
      <c r="A32" s="8"/>
      <c r="I32" s="9" t="s">
        <v>46</v>
      </c>
      <c r="J32" s="18">
        <f>J29*J30*J31</f>
        <v>384</v>
      </c>
      <c r="K32" s="7"/>
      <c r="M32" s="8"/>
      <c r="T32" s="9" t="s">
        <v>47</v>
      </c>
      <c r="V32" s="7"/>
    </row>
    <row r="33" spans="1:22" ht="15" customHeight="1" x14ac:dyDescent="0.25">
      <c r="A33" s="8"/>
      <c r="K33" s="7"/>
      <c r="M33" s="8"/>
      <c r="T33" s="9" t="s">
        <v>48</v>
      </c>
      <c r="U33" s="9">
        <v>60</v>
      </c>
      <c r="V33" s="7"/>
    </row>
    <row r="34" spans="1:22" ht="15" customHeight="1" x14ac:dyDescent="0.25">
      <c r="A34" s="8"/>
      <c r="K34" s="7"/>
      <c r="M34" s="8"/>
      <c r="T34" s="9" t="s">
        <v>49</v>
      </c>
      <c r="U34" s="9">
        <v>112500</v>
      </c>
      <c r="V34" s="7"/>
    </row>
    <row r="35" spans="1:22" ht="15" customHeight="1" x14ac:dyDescent="0.25">
      <c r="A35" s="8"/>
      <c r="I35" s="3" t="s">
        <v>50</v>
      </c>
      <c r="J35" s="3"/>
      <c r="K35" s="7"/>
      <c r="M35" s="8"/>
      <c r="V35" s="7"/>
    </row>
    <row r="36" spans="1:22" ht="15" customHeight="1" x14ac:dyDescent="0.25">
      <c r="A36" s="8"/>
      <c r="I36" s="9" t="s">
        <v>38</v>
      </c>
      <c r="J36" s="9">
        <v>6</v>
      </c>
      <c r="K36" s="7"/>
      <c r="M36" s="8"/>
      <c r="V36" s="7"/>
    </row>
    <row r="37" spans="1:22" ht="15" customHeight="1" x14ac:dyDescent="0.25">
      <c r="A37" s="8"/>
      <c r="I37" s="9" t="s">
        <v>42</v>
      </c>
      <c r="J37" s="9">
        <v>2</v>
      </c>
      <c r="K37" s="7"/>
      <c r="M37" s="8"/>
      <c r="T37" s="9" t="s">
        <v>43</v>
      </c>
      <c r="V37" s="7"/>
    </row>
    <row r="38" spans="1:22" ht="15" customHeight="1" x14ac:dyDescent="0.25">
      <c r="A38" s="8"/>
      <c r="I38" s="9" t="s">
        <v>45</v>
      </c>
      <c r="J38" s="9">
        <v>32</v>
      </c>
      <c r="K38" s="7"/>
      <c r="M38" s="8"/>
      <c r="T38" s="9" t="s">
        <v>51</v>
      </c>
      <c r="U38" s="9">
        <v>30</v>
      </c>
      <c r="V38" s="7"/>
    </row>
    <row r="39" spans="1:22" ht="15" customHeight="1" x14ac:dyDescent="0.25">
      <c r="A39" s="8"/>
      <c r="I39" s="9" t="s">
        <v>46</v>
      </c>
      <c r="J39" s="18">
        <f>J36*J37*J38</f>
        <v>384</v>
      </c>
      <c r="K39" s="7"/>
      <c r="M39" s="8"/>
      <c r="T39" s="9" t="s">
        <v>52</v>
      </c>
      <c r="U39" s="9">
        <v>10</v>
      </c>
      <c r="V39" s="7"/>
    </row>
    <row r="40" spans="1:22" ht="15" customHeight="1" x14ac:dyDescent="0.25">
      <c r="A40" s="8"/>
      <c r="K40" s="7"/>
      <c r="M40" s="8"/>
      <c r="T40" s="9" t="s">
        <v>53</v>
      </c>
      <c r="U40" s="9">
        <v>16</v>
      </c>
      <c r="V40" s="7"/>
    </row>
    <row r="41" spans="1:22" ht="15" customHeight="1" x14ac:dyDescent="0.25">
      <c r="A41" s="8"/>
      <c r="K41" s="7"/>
      <c r="M41" s="8"/>
      <c r="N41" s="18" t="s">
        <v>54</v>
      </c>
      <c r="T41" s="9" t="s">
        <v>55</v>
      </c>
      <c r="U41" s="18">
        <f>U38+U39+U40</f>
        <v>56</v>
      </c>
      <c r="V41" s="7"/>
    </row>
    <row r="42" spans="1:22" ht="15" customHeight="1" x14ac:dyDescent="0.25">
      <c r="A42" s="8"/>
      <c r="K42" s="7"/>
      <c r="M42" s="8"/>
      <c r="N42" s="29">
        <v>45000</v>
      </c>
      <c r="T42" s="9" t="s">
        <v>56</v>
      </c>
      <c r="U42" s="18">
        <f>U41*5625</f>
        <v>315000</v>
      </c>
      <c r="V42" s="7"/>
    </row>
    <row r="43" spans="1:22" ht="15" customHeight="1" x14ac:dyDescent="0.25">
      <c r="A43" s="8"/>
      <c r="I43" s="9" t="s">
        <v>57</v>
      </c>
      <c r="J43" s="9">
        <v>40</v>
      </c>
      <c r="K43" s="7"/>
      <c r="M43" s="8"/>
      <c r="V43" s="7"/>
    </row>
    <row r="44" spans="1:22" ht="15.75" customHeight="1" x14ac:dyDescent="0.2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4"/>
      <c r="M44" s="8"/>
      <c r="V44" s="7"/>
    </row>
    <row r="45" spans="1:22" ht="15" customHeight="1" x14ac:dyDescent="0.25">
      <c r="M45" s="8"/>
      <c r="T45" s="9" t="s">
        <v>58</v>
      </c>
      <c r="V45" s="7"/>
    </row>
    <row r="46" spans="1:22" ht="15" customHeight="1" x14ac:dyDescent="0.25">
      <c r="M46" s="8"/>
      <c r="T46" s="9" t="s">
        <v>59</v>
      </c>
      <c r="U46" s="9">
        <v>900000</v>
      </c>
      <c r="V46" s="7"/>
    </row>
    <row r="47" spans="1:22" ht="15" customHeight="1" x14ac:dyDescent="0.25">
      <c r="B47" s="18" t="s">
        <v>60</v>
      </c>
      <c r="C47" s="18">
        <v>0.05</v>
      </c>
      <c r="D47" s="18">
        <v>7.0000000000000007E-2</v>
      </c>
      <c r="M47" s="8"/>
      <c r="T47" s="9" t="s">
        <v>61</v>
      </c>
      <c r="U47" s="9">
        <v>160</v>
      </c>
      <c r="V47" s="7"/>
    </row>
    <row r="48" spans="1:22" ht="15" customHeight="1" x14ac:dyDescent="0.25">
      <c r="B48" s="18" t="s">
        <v>62</v>
      </c>
      <c r="C48" s="18">
        <v>0.08</v>
      </c>
      <c r="D48" s="18">
        <v>0.1</v>
      </c>
      <c r="M48" s="8"/>
      <c r="T48" s="9" t="s">
        <v>63</v>
      </c>
      <c r="U48" s="9">
        <f>U46/U47</f>
        <v>5625</v>
      </c>
      <c r="V48" s="7"/>
    </row>
    <row r="49" spans="2:39" ht="15" customHeight="1" x14ac:dyDescent="0.25">
      <c r="B49" s="18" t="s">
        <v>64</v>
      </c>
      <c r="C49" s="18">
        <f>C47+C48</f>
        <v>0.13</v>
      </c>
      <c r="D49" s="18">
        <f>D47+D48</f>
        <v>0.17</v>
      </c>
      <c r="M49" s="8"/>
      <c r="V49" s="7"/>
    </row>
    <row r="50" spans="2:39" ht="15" customHeight="1" x14ac:dyDescent="0.25">
      <c r="B50" s="32" t="s">
        <v>65</v>
      </c>
      <c r="C50" s="2">
        <f>AVERAGE(C49:D49)</f>
        <v>0.15000000000000002</v>
      </c>
      <c r="D50" s="2"/>
      <c r="M50" s="8"/>
      <c r="V50" s="7"/>
    </row>
    <row r="51" spans="2:39" ht="15.75" customHeight="1" x14ac:dyDescent="0.25">
      <c r="B51" s="32" t="s">
        <v>66</v>
      </c>
      <c r="C51" s="1">
        <f>(1+C50)^(1/12)-1</f>
        <v>1.171491691985338E-2</v>
      </c>
      <c r="D51" s="1"/>
      <c r="M51" s="22"/>
      <c r="N51" s="23"/>
      <c r="O51" s="23"/>
      <c r="P51" s="23"/>
      <c r="Q51" s="23"/>
      <c r="R51" s="23"/>
      <c r="S51" s="23"/>
      <c r="T51" s="23"/>
      <c r="U51" s="23"/>
      <c r="V51" s="24"/>
    </row>
    <row r="56" spans="2:39" ht="15.75" customHeight="1" x14ac:dyDescent="0.25"/>
    <row r="57" spans="2:39" ht="15" customHeight="1" x14ac:dyDescent="0.25">
      <c r="B57" s="33" t="s">
        <v>67</v>
      </c>
      <c r="C57" s="34" t="s">
        <v>68</v>
      </c>
      <c r="D57" s="34" t="s">
        <v>69</v>
      </c>
      <c r="E57" s="34" t="s">
        <v>70</v>
      </c>
      <c r="F57" s="34" t="s">
        <v>71</v>
      </c>
      <c r="G57" s="34" t="s">
        <v>72</v>
      </c>
      <c r="H57" s="34" t="s">
        <v>73</v>
      </c>
      <c r="I57" s="34" t="s">
        <v>74</v>
      </c>
      <c r="J57" s="34" t="s">
        <v>75</v>
      </c>
      <c r="K57" s="34" t="s">
        <v>76</v>
      </c>
      <c r="L57" s="34" t="s">
        <v>77</v>
      </c>
      <c r="M57" s="34" t="s">
        <v>78</v>
      </c>
      <c r="N57" s="34" t="s">
        <v>79</v>
      </c>
      <c r="O57" s="34" t="s">
        <v>80</v>
      </c>
      <c r="P57" s="34" t="s">
        <v>81</v>
      </c>
      <c r="Q57" s="34" t="s">
        <v>82</v>
      </c>
      <c r="R57" s="34" t="s">
        <v>83</v>
      </c>
      <c r="S57" s="34" t="s">
        <v>84</v>
      </c>
      <c r="T57" s="34" t="s">
        <v>85</v>
      </c>
      <c r="U57" s="34" t="s">
        <v>86</v>
      </c>
      <c r="V57" s="34" t="s">
        <v>87</v>
      </c>
      <c r="W57" s="34" t="s">
        <v>88</v>
      </c>
      <c r="X57" s="34" t="s">
        <v>89</v>
      </c>
      <c r="Y57" s="34" t="s">
        <v>90</v>
      </c>
      <c r="Z57" s="34" t="s">
        <v>91</v>
      </c>
      <c r="AA57" s="34" t="s">
        <v>92</v>
      </c>
      <c r="AB57" s="34" t="s">
        <v>93</v>
      </c>
      <c r="AC57" s="34" t="s">
        <v>94</v>
      </c>
      <c r="AD57" s="34" t="s">
        <v>95</v>
      </c>
      <c r="AE57" s="34" t="s">
        <v>96</v>
      </c>
      <c r="AF57" s="34" t="s">
        <v>97</v>
      </c>
      <c r="AG57" s="34" t="s">
        <v>98</v>
      </c>
      <c r="AH57" s="34" t="s">
        <v>99</v>
      </c>
      <c r="AI57" s="34" t="s">
        <v>100</v>
      </c>
      <c r="AJ57" s="34" t="s">
        <v>101</v>
      </c>
      <c r="AK57" s="34" t="s">
        <v>102</v>
      </c>
      <c r="AL57" s="34" t="s">
        <v>103</v>
      </c>
      <c r="AM57" s="35" t="s">
        <v>104</v>
      </c>
    </row>
    <row r="58" spans="2:39" ht="15" customHeight="1" x14ac:dyDescent="0.25">
      <c r="B58" s="36" t="s">
        <v>105</v>
      </c>
      <c r="C58" s="18">
        <v>0</v>
      </c>
      <c r="D58" s="18">
        <f t="shared" ref="D58:AM58" si="1">$P$31</f>
        <v>652500</v>
      </c>
      <c r="E58" s="18">
        <f t="shared" si="1"/>
        <v>652500</v>
      </c>
      <c r="F58" s="18">
        <f t="shared" si="1"/>
        <v>652500</v>
      </c>
      <c r="G58" s="18">
        <f t="shared" si="1"/>
        <v>652500</v>
      </c>
      <c r="H58" s="18">
        <f t="shared" si="1"/>
        <v>652500</v>
      </c>
      <c r="I58" s="18">
        <f t="shared" si="1"/>
        <v>652500</v>
      </c>
      <c r="J58" s="18">
        <f t="shared" si="1"/>
        <v>652500</v>
      </c>
      <c r="K58" s="18">
        <f t="shared" si="1"/>
        <v>652500</v>
      </c>
      <c r="L58" s="18">
        <f t="shared" si="1"/>
        <v>652500</v>
      </c>
      <c r="M58" s="18">
        <f t="shared" si="1"/>
        <v>652500</v>
      </c>
      <c r="N58" s="18">
        <f t="shared" si="1"/>
        <v>652500</v>
      </c>
      <c r="O58" s="18">
        <f t="shared" si="1"/>
        <v>652500</v>
      </c>
      <c r="P58" s="18">
        <f t="shared" si="1"/>
        <v>652500</v>
      </c>
      <c r="Q58" s="18">
        <f t="shared" si="1"/>
        <v>652500</v>
      </c>
      <c r="R58" s="18">
        <f t="shared" si="1"/>
        <v>652500</v>
      </c>
      <c r="S58" s="18">
        <f t="shared" si="1"/>
        <v>652500</v>
      </c>
      <c r="T58" s="18">
        <f t="shared" si="1"/>
        <v>652500</v>
      </c>
      <c r="U58" s="18">
        <f t="shared" si="1"/>
        <v>652500</v>
      </c>
      <c r="V58" s="18">
        <f t="shared" si="1"/>
        <v>652500</v>
      </c>
      <c r="W58" s="18">
        <f t="shared" si="1"/>
        <v>652500</v>
      </c>
      <c r="X58" s="18">
        <f t="shared" si="1"/>
        <v>652500</v>
      </c>
      <c r="Y58" s="18">
        <f t="shared" si="1"/>
        <v>652500</v>
      </c>
      <c r="Z58" s="18">
        <f t="shared" si="1"/>
        <v>652500</v>
      </c>
      <c r="AA58" s="18">
        <f t="shared" si="1"/>
        <v>652500</v>
      </c>
      <c r="AB58" s="18">
        <f t="shared" si="1"/>
        <v>652500</v>
      </c>
      <c r="AC58" s="18">
        <f t="shared" si="1"/>
        <v>652500</v>
      </c>
      <c r="AD58" s="18">
        <f t="shared" si="1"/>
        <v>652500</v>
      </c>
      <c r="AE58" s="18">
        <f t="shared" si="1"/>
        <v>652500</v>
      </c>
      <c r="AF58" s="18">
        <f t="shared" si="1"/>
        <v>652500</v>
      </c>
      <c r="AG58" s="18">
        <f t="shared" si="1"/>
        <v>652500</v>
      </c>
      <c r="AH58" s="18">
        <f t="shared" si="1"/>
        <v>652500</v>
      </c>
      <c r="AI58" s="18">
        <f t="shared" si="1"/>
        <v>652500</v>
      </c>
      <c r="AJ58" s="18">
        <f t="shared" si="1"/>
        <v>652500</v>
      </c>
      <c r="AK58" s="18">
        <f t="shared" si="1"/>
        <v>652500</v>
      </c>
      <c r="AL58" s="18">
        <f t="shared" si="1"/>
        <v>652500</v>
      </c>
      <c r="AM58" s="37">
        <f t="shared" si="1"/>
        <v>652500</v>
      </c>
    </row>
    <row r="59" spans="2:39" ht="15" customHeight="1" x14ac:dyDescent="0.25">
      <c r="B59" s="36" t="s">
        <v>106</v>
      </c>
      <c r="C59" s="18">
        <v>0</v>
      </c>
      <c r="D59" s="18">
        <f t="shared" ref="D59:AM59" si="2">$P$19</f>
        <v>151250</v>
      </c>
      <c r="E59" s="18">
        <f t="shared" si="2"/>
        <v>151250</v>
      </c>
      <c r="F59" s="18">
        <f t="shared" si="2"/>
        <v>151250</v>
      </c>
      <c r="G59" s="18">
        <f t="shared" si="2"/>
        <v>151250</v>
      </c>
      <c r="H59" s="18">
        <f t="shared" si="2"/>
        <v>151250</v>
      </c>
      <c r="I59" s="18">
        <f t="shared" si="2"/>
        <v>151250</v>
      </c>
      <c r="J59" s="18">
        <f t="shared" si="2"/>
        <v>151250</v>
      </c>
      <c r="K59" s="18">
        <f t="shared" si="2"/>
        <v>151250</v>
      </c>
      <c r="L59" s="18">
        <f t="shared" si="2"/>
        <v>151250</v>
      </c>
      <c r="M59" s="18">
        <f t="shared" si="2"/>
        <v>151250</v>
      </c>
      <c r="N59" s="18">
        <f t="shared" si="2"/>
        <v>151250</v>
      </c>
      <c r="O59" s="18">
        <f t="shared" si="2"/>
        <v>151250</v>
      </c>
      <c r="P59" s="18">
        <f t="shared" si="2"/>
        <v>151250</v>
      </c>
      <c r="Q59" s="18">
        <f t="shared" si="2"/>
        <v>151250</v>
      </c>
      <c r="R59" s="18">
        <f t="shared" si="2"/>
        <v>151250</v>
      </c>
      <c r="S59" s="18">
        <f t="shared" si="2"/>
        <v>151250</v>
      </c>
      <c r="T59" s="18">
        <f t="shared" si="2"/>
        <v>151250</v>
      </c>
      <c r="U59" s="18">
        <f t="shared" si="2"/>
        <v>151250</v>
      </c>
      <c r="V59" s="18">
        <f t="shared" si="2"/>
        <v>151250</v>
      </c>
      <c r="W59" s="18">
        <f t="shared" si="2"/>
        <v>151250</v>
      </c>
      <c r="X59" s="18">
        <f t="shared" si="2"/>
        <v>151250</v>
      </c>
      <c r="Y59" s="18">
        <f t="shared" si="2"/>
        <v>151250</v>
      </c>
      <c r="Z59" s="18">
        <f t="shared" si="2"/>
        <v>151250</v>
      </c>
      <c r="AA59" s="18">
        <f t="shared" si="2"/>
        <v>151250</v>
      </c>
      <c r="AB59" s="18">
        <f t="shared" si="2"/>
        <v>151250</v>
      </c>
      <c r="AC59" s="18">
        <f t="shared" si="2"/>
        <v>151250</v>
      </c>
      <c r="AD59" s="18">
        <f t="shared" si="2"/>
        <v>151250</v>
      </c>
      <c r="AE59" s="18">
        <f t="shared" si="2"/>
        <v>151250</v>
      </c>
      <c r="AF59" s="18">
        <f t="shared" si="2"/>
        <v>151250</v>
      </c>
      <c r="AG59" s="18">
        <f t="shared" si="2"/>
        <v>151250</v>
      </c>
      <c r="AH59" s="18">
        <f t="shared" si="2"/>
        <v>151250</v>
      </c>
      <c r="AI59" s="18">
        <f t="shared" si="2"/>
        <v>151250</v>
      </c>
      <c r="AJ59" s="18">
        <f t="shared" si="2"/>
        <v>151250</v>
      </c>
      <c r="AK59" s="18">
        <f t="shared" si="2"/>
        <v>151250</v>
      </c>
      <c r="AL59" s="18">
        <f t="shared" si="2"/>
        <v>151250</v>
      </c>
      <c r="AM59" s="37">
        <f t="shared" si="2"/>
        <v>151250</v>
      </c>
    </row>
    <row r="60" spans="2:39" ht="15" customHeight="1" x14ac:dyDescent="0.25">
      <c r="B60" s="36" t="s">
        <v>107</v>
      </c>
      <c r="C60" s="18">
        <f>D21</f>
        <v>12577500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37">
        <v>0</v>
      </c>
    </row>
    <row r="61" spans="2:39" ht="15.75" customHeight="1" x14ac:dyDescent="0.25">
      <c r="B61" s="38" t="s">
        <v>108</v>
      </c>
      <c r="C61" s="39">
        <f t="shared" ref="C61:AM61" si="3">C58-C59-C60</f>
        <v>-12577500</v>
      </c>
      <c r="D61" s="39">
        <f t="shared" si="3"/>
        <v>501250</v>
      </c>
      <c r="E61" s="39">
        <f t="shared" si="3"/>
        <v>501250</v>
      </c>
      <c r="F61" s="39">
        <f t="shared" si="3"/>
        <v>501250</v>
      </c>
      <c r="G61" s="39">
        <f t="shared" si="3"/>
        <v>501250</v>
      </c>
      <c r="H61" s="39">
        <f t="shared" si="3"/>
        <v>501250</v>
      </c>
      <c r="I61" s="39">
        <f t="shared" si="3"/>
        <v>501250</v>
      </c>
      <c r="J61" s="39">
        <f t="shared" si="3"/>
        <v>501250</v>
      </c>
      <c r="K61" s="39">
        <f t="shared" si="3"/>
        <v>501250</v>
      </c>
      <c r="L61" s="39">
        <f t="shared" si="3"/>
        <v>501250</v>
      </c>
      <c r="M61" s="39">
        <f t="shared" si="3"/>
        <v>501250</v>
      </c>
      <c r="N61" s="39">
        <f t="shared" si="3"/>
        <v>501250</v>
      </c>
      <c r="O61" s="39">
        <f t="shared" si="3"/>
        <v>501250</v>
      </c>
      <c r="P61" s="39">
        <f t="shared" si="3"/>
        <v>501250</v>
      </c>
      <c r="Q61" s="39">
        <f t="shared" si="3"/>
        <v>501250</v>
      </c>
      <c r="R61" s="39">
        <f t="shared" si="3"/>
        <v>501250</v>
      </c>
      <c r="S61" s="39">
        <f t="shared" si="3"/>
        <v>501250</v>
      </c>
      <c r="T61" s="39">
        <f t="shared" si="3"/>
        <v>501250</v>
      </c>
      <c r="U61" s="39">
        <f t="shared" si="3"/>
        <v>501250</v>
      </c>
      <c r="V61" s="39">
        <f t="shared" si="3"/>
        <v>501250</v>
      </c>
      <c r="W61" s="39">
        <f t="shared" si="3"/>
        <v>501250</v>
      </c>
      <c r="X61" s="39">
        <f t="shared" si="3"/>
        <v>501250</v>
      </c>
      <c r="Y61" s="39">
        <f t="shared" si="3"/>
        <v>501250</v>
      </c>
      <c r="Z61" s="39">
        <f t="shared" si="3"/>
        <v>501250</v>
      </c>
      <c r="AA61" s="39">
        <f t="shared" si="3"/>
        <v>501250</v>
      </c>
      <c r="AB61" s="39">
        <f t="shared" si="3"/>
        <v>501250</v>
      </c>
      <c r="AC61" s="39">
        <f t="shared" si="3"/>
        <v>501250</v>
      </c>
      <c r="AD61" s="39">
        <f t="shared" si="3"/>
        <v>501250</v>
      </c>
      <c r="AE61" s="39">
        <f t="shared" si="3"/>
        <v>501250</v>
      </c>
      <c r="AF61" s="39">
        <f t="shared" si="3"/>
        <v>501250</v>
      </c>
      <c r="AG61" s="39">
        <f t="shared" si="3"/>
        <v>501250</v>
      </c>
      <c r="AH61" s="39">
        <f t="shared" si="3"/>
        <v>501250</v>
      </c>
      <c r="AI61" s="39">
        <f t="shared" si="3"/>
        <v>501250</v>
      </c>
      <c r="AJ61" s="39">
        <f t="shared" si="3"/>
        <v>501250</v>
      </c>
      <c r="AK61" s="39">
        <f t="shared" si="3"/>
        <v>501250</v>
      </c>
      <c r="AL61" s="39">
        <f t="shared" si="3"/>
        <v>501250</v>
      </c>
      <c r="AM61" s="40">
        <f t="shared" si="3"/>
        <v>501250</v>
      </c>
    </row>
    <row r="64" spans="2:39" ht="15.75" customHeight="1" x14ac:dyDescent="0.25"/>
    <row r="65" spans="2:3" ht="15" customHeight="1" x14ac:dyDescent="0.25">
      <c r="B65" s="41" t="s">
        <v>109</v>
      </c>
      <c r="C65" s="42">
        <f>NPV(C51,D61:AM61)-C60</f>
        <v>2076465.5097797848</v>
      </c>
    </row>
    <row r="66" spans="2:3" ht="15" customHeight="1" x14ac:dyDescent="0.25">
      <c r="B66" s="36" t="s">
        <v>110</v>
      </c>
      <c r="C66" s="43">
        <f>IRR(C61:AM61)</f>
        <v>2.0979909795688201E-2</v>
      </c>
    </row>
    <row r="67" spans="2:3" ht="15.75" customHeight="1" x14ac:dyDescent="0.25">
      <c r="B67" s="44" t="s">
        <v>111</v>
      </c>
      <c r="C67" s="45">
        <f>(1+C66)^(12)-1</f>
        <v>0.28294003190669215</v>
      </c>
    </row>
  </sheetData>
  <mergeCells count="11">
    <mergeCell ref="I35:J35"/>
    <mergeCell ref="C50:D50"/>
    <mergeCell ref="C51:D51"/>
    <mergeCell ref="A7:B8"/>
    <mergeCell ref="N7:O8"/>
    <mergeCell ref="I10:J10"/>
    <mergeCell ref="T14:U14"/>
    <mergeCell ref="I16:J16"/>
    <mergeCell ref="I22:J22"/>
    <mergeCell ref="E28:F28"/>
    <mergeCell ref="I28:J2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KIMURA SANDOVAL KENJI S</dc:creator>
  <dc:description/>
  <cp:lastModifiedBy>Fernando Pavez Ll.</cp:lastModifiedBy>
  <cp:revision>0</cp:revision>
  <dcterms:created xsi:type="dcterms:W3CDTF">2026-04-19T18:02:16Z</dcterms:created>
  <dcterms:modified xsi:type="dcterms:W3CDTF">2026-04-20T00:42:04Z</dcterms:modified>
  <dc:language>en-US</dc:language>
</cp:coreProperties>
</file>